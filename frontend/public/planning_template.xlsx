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1E3A5F"/>
      <sz val="14"/>
    </font>
    <font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7B9D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BF360C"/>
      </patternFill>
    </fill>
    <fill>
      <patternFill patternType="solid">
        <fgColor rgb="00EBF3FB"/>
      </patternFill>
    </fill>
    <fill>
      <patternFill patternType="solid">
        <fgColor rgb="00F7FBFF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FBE9E7"/>
      </patternFill>
    </fill>
    <fill>
      <patternFill patternType="solid">
        <fgColor rgb="00D6E4F0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horizontal="center" vertical="center" wrapText="1"/>
    </xf>
    <xf numFmtId="49" fontId="2" fillId="8" borderId="1" applyAlignment="1" pivotButton="0" quotePrefix="0" xfId="0">
      <alignment horizontal="center" vertical="center" wrapText="1"/>
    </xf>
    <xf numFmtId="4" fontId="2" fillId="8" borderId="1" applyAlignment="1" pivotButton="0" quotePrefix="0" xfId="0">
      <alignment horizontal="center" vertical="center" wrapText="1"/>
    </xf>
    <xf numFmtId="3" fontId="2" fillId="7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3" fontId="2" fillId="10" borderId="1" applyAlignment="1" pivotButton="0" quotePrefix="0" xfId="0">
      <alignment horizontal="center" vertical="center" wrapText="1"/>
    </xf>
    <xf numFmtId="3" fontId="2" fillId="11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Planning Tool</author>
  </authors>
  <commentList>
    <comment ref="A1" authorId="0" shapeId="0">
      <text>
        <t>REQUIRED — Text, max 20 chars
Unique SKU/identifier per product
Ex: SKI-JKT-001</t>
      </text>
    </comment>
    <comment ref="B1" authorId="0" shapeId="0">
      <text>
        <t>REQUIRED — Text, max 100 chars
Human-readable product name
Ex: Sci Jacket Pro</t>
      </text>
    </comment>
    <comment ref="C1" authorId="0" shapeId="0">
      <text>
        <t>Optional — Free text
Product category
Ex: Abbigliamento, Calzature, Accessori</t>
      </text>
    </comment>
    <comment ref="D1" authorId="0" shapeId="0">
      <text>
        <t>Optional — Text
Internal supplier identifier
Ex: SUP-001</t>
      </text>
    </comment>
    <comment ref="E1" authorId="0" shapeId="0">
      <text>
        <t>Optional — Text
Supplier company name
Ex: Alpine Wear SRL</t>
      </text>
    </comment>
    <comment ref="F1" authorId="0" shapeId="0">
      <text>
        <t>Optional — Text
Sales channel name
Ex: Main Store, Online, Wholesale
Leave blank if single channel.</t>
      </text>
    </comment>
    <comment ref="G1" authorId="0" shapeId="0">
      <text>
        <t>Optional — 3-character ISO code
Valid values: EUR, USD, GBP, CHF
Default: EUR</t>
      </text>
    </comment>
    <comment ref="H1" authorId="0" shapeId="0">
      <text>
        <t>Optional — Abbreviation
Valid values: PZ (pieces), KG, MT (meters),
LT (litres), CF (cubic feet)</t>
      </text>
    </comment>
    <comment ref="I1" authorId="0" shapeId="0">
      <text>
        <t>Optional — Number with 2 decimal places
Cost per unit in the currency specified
Ex: 85.00</t>
      </text>
    </comment>
    <comment ref="J1" authorId="0" shapeId="0">
      <text>
        <t>REQUIRED — Integer ≥ 0
Units currently in stock at time of analysis
(NOT the same as last year closing stock)</t>
      </text>
    </comment>
    <comment ref="K1" authorId="0" shapeId="0">
      <text>
        <t>YEAR 2022 — Integer ≥ 0
Units in stock at START of 2022
Opening Stock = previous year Closing Stock</t>
      </text>
    </comment>
    <comment ref="L1" authorId="0" shapeId="0">
      <text>
        <t>YEAR 2022 — Integer ≥ 0
Total units purchased/ordered in 2022</t>
      </text>
    </comment>
    <comment ref="M1" authorId="0" shapeId="0">
      <text>
        <t>YEAR 2022 — Integer ≥ 0
Units remaining in stock at END of 2022
Sales = Opening + Qty Purchased − Closing</t>
      </text>
    </comment>
    <comment ref="N1" authorId="0" shapeId="0">
      <text>
        <t>YEAR 2023 — Integer ≥ 0
Units in stock at START of 2023
Opening Stock = previous year Closing Stock</t>
      </text>
    </comment>
    <comment ref="O1" authorId="0" shapeId="0">
      <text>
        <t>YEAR 2023 — Integer ≥ 0
Total units purchased/ordered in 2023</t>
      </text>
    </comment>
    <comment ref="P1" authorId="0" shapeId="0">
      <text>
        <t>YEAR 2023 — Integer ≥ 0
Units remaining in stock at END of 2023
Sales = Opening + Qty Purchased − Closing</t>
      </text>
    </comment>
    <comment ref="Q1" authorId="0" shapeId="0">
      <text>
        <t>YEAR 2024 — Integer ≥ 0
Units in stock at START of 2024
Opening Stock = previous year Closing Stock</t>
      </text>
    </comment>
    <comment ref="R1" authorId="0" shapeId="0">
      <text>
        <t>YEAR 2024 — Integer ≥ 0
Total units purchased/ordered in 2024</t>
      </text>
    </comment>
    <comment ref="S1" authorId="0" shapeId="0">
      <text>
        <t>YEAR 2024 — Integer ≥ 0
Units remaining in stock at END of 2024
Sales = Opening + Qty Purchased − Closing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20" customWidth="1" min="5" max="5"/>
    <col width="16" customWidth="1" min="6" max="6"/>
    <col width="10" customWidth="1" min="7" max="7"/>
    <col width="14" customWidth="1" min="8" max="8"/>
    <col width="12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6" customHeight="1">
      <c r="A1" s="1" t="inlineStr">
        <is>
          <t>Product Code</t>
        </is>
      </c>
      <c r="B1" s="1" t="inlineStr">
        <is>
          <t>Product Name</t>
        </is>
      </c>
      <c r="C1" s="2" t="inlineStr">
        <is>
          <t>Category</t>
        </is>
      </c>
      <c r="D1" s="2" t="inlineStr">
        <is>
          <t>Supplier Code</t>
        </is>
      </c>
      <c r="E1" s="2" t="inlineStr">
        <is>
          <t>Supplier Name</t>
        </is>
      </c>
      <c r="F1" s="2" t="inlineStr">
        <is>
          <t>Sales Channel</t>
        </is>
      </c>
      <c r="G1" s="2" t="inlineStr">
        <is>
          <t>Currency</t>
        </is>
      </c>
      <c r="H1" s="2" t="inlineStr">
        <is>
          <t>Unit of Measure</t>
        </is>
      </c>
      <c r="I1" s="2" t="inlineStr">
        <is>
          <t>Unit Cost</t>
        </is>
      </c>
      <c r="J1" s="1" t="inlineStr">
        <is>
          <t>Current Stock</t>
        </is>
      </c>
      <c r="K1" s="3" t="inlineStr">
        <is>
          <t>Opening Stock 2022</t>
        </is>
      </c>
      <c r="L1" s="3" t="inlineStr">
        <is>
          <t>Qty Purchased 2022</t>
        </is>
      </c>
      <c r="M1" s="3" t="inlineStr">
        <is>
          <t>Closing Stock 2022</t>
        </is>
      </c>
      <c r="N1" s="4" t="inlineStr">
        <is>
          <t>Opening Stock 2023</t>
        </is>
      </c>
      <c r="O1" s="4" t="inlineStr">
        <is>
          <t>Qty Purchased 2023</t>
        </is>
      </c>
      <c r="P1" s="4" t="inlineStr">
        <is>
          <t>Closing Stock 2023</t>
        </is>
      </c>
      <c r="Q1" s="5" t="inlineStr">
        <is>
          <t>Opening Stock 2024</t>
        </is>
      </c>
      <c r="R1" s="5" t="inlineStr">
        <is>
          <t>Qty Purchased 2024</t>
        </is>
      </c>
      <c r="S1" s="5" t="inlineStr">
        <is>
          <t>Closing Stock 2024</t>
        </is>
      </c>
    </row>
    <row r="2">
      <c r="A2" s="6" t="inlineStr">
        <is>
          <t>SKI-JKT-001</t>
        </is>
      </c>
      <c r="B2" s="6" t="inlineStr">
        <is>
          <t>Sci Jacket Pro</t>
        </is>
      </c>
      <c r="C2" s="7" t="inlineStr">
        <is>
          <t>Abbigliamento</t>
        </is>
      </c>
      <c r="D2" s="7" t="inlineStr">
        <is>
          <t>SUP-001</t>
        </is>
      </c>
      <c r="E2" s="7" t="inlineStr">
        <is>
          <t>Alpine Wear SRL</t>
        </is>
      </c>
      <c r="F2" s="7" t="inlineStr">
        <is>
          <t>Main Store</t>
        </is>
      </c>
      <c r="G2" s="7" t="inlineStr">
        <is>
          <t>EUR</t>
        </is>
      </c>
      <c r="H2" s="7" t="inlineStr">
        <is>
          <t>PZ</t>
        </is>
      </c>
      <c r="I2" s="8" t="n">
        <v>85</v>
      </c>
      <c r="J2" s="9" t="n">
        <v>42</v>
      </c>
      <c r="K2" s="10" t="n">
        <v>50</v>
      </c>
      <c r="L2" s="10" t="n">
        <v>300</v>
      </c>
      <c r="M2" s="10" t="n">
        <v>40</v>
      </c>
      <c r="N2" s="11" t="n">
        <v>40</v>
      </c>
      <c r="O2" s="11" t="n">
        <v>320</v>
      </c>
      <c r="P2" s="11" t="n">
        <v>35</v>
      </c>
      <c r="Q2" s="12" t="n">
        <v>35</v>
      </c>
      <c r="R2" s="12" t="n">
        <v>350</v>
      </c>
      <c r="S2" s="12" t="n">
        <v>30</v>
      </c>
    </row>
    <row r="3">
      <c r="A3" s="6" t="inlineStr">
        <is>
          <t>SKI-JKT-001</t>
        </is>
      </c>
      <c r="B3" s="6" t="inlineStr">
        <is>
          <t>Sci Jacket Pro</t>
        </is>
      </c>
      <c r="C3" s="7" t="inlineStr">
        <is>
          <t>Abbigliamento</t>
        </is>
      </c>
      <c r="D3" s="7" t="inlineStr">
        <is>
          <t>SUP-001</t>
        </is>
      </c>
      <c r="E3" s="7" t="inlineStr">
        <is>
          <t>Alpine Wear SRL</t>
        </is>
      </c>
      <c r="F3" s="7" t="inlineStr">
        <is>
          <t>Online</t>
        </is>
      </c>
      <c r="G3" s="7" t="inlineStr">
        <is>
          <t>EUR</t>
        </is>
      </c>
      <c r="H3" s="7" t="inlineStr">
        <is>
          <t>PZ</t>
        </is>
      </c>
      <c r="I3" s="8" t="n">
        <v>85</v>
      </c>
      <c r="J3" s="9" t="n">
        <v>18</v>
      </c>
      <c r="K3" s="10" t="n">
        <v>10</v>
      </c>
      <c r="L3" s="10" t="n">
        <v>80</v>
      </c>
      <c r="M3" s="10" t="n">
        <v>8</v>
      </c>
      <c r="N3" s="11" t="n">
        <v>8</v>
      </c>
      <c r="O3" s="11" t="n">
        <v>100</v>
      </c>
      <c r="P3" s="11" t="n">
        <v>6</v>
      </c>
      <c r="Q3" s="12" t="n">
        <v>6</v>
      </c>
      <c r="R3" s="12" t="n">
        <v>130</v>
      </c>
      <c r="S3" s="12" t="n">
        <v>5</v>
      </c>
    </row>
    <row r="4">
      <c r="A4" s="6" t="inlineStr">
        <is>
          <t>SKI-BT-002</t>
        </is>
      </c>
      <c r="B4" s="6" t="inlineStr">
        <is>
          <t>Alpine Ski Boots</t>
        </is>
      </c>
      <c r="C4" s="7" t="inlineStr">
        <is>
          <t>Calzature</t>
        </is>
      </c>
      <c r="D4" s="7" t="inlineStr">
        <is>
          <t>SUP-002</t>
        </is>
      </c>
      <c r="E4" s="7" t="inlineStr">
        <is>
          <t>Boot Masters SPA</t>
        </is>
      </c>
      <c r="F4" s="7" t="inlineStr">
        <is>
          <t>Main Store</t>
        </is>
      </c>
      <c r="G4" s="7" t="inlineStr">
        <is>
          <t>EUR</t>
        </is>
      </c>
      <c r="H4" s="7" t="inlineStr">
        <is>
          <t>PZ</t>
        </is>
      </c>
      <c r="I4" s="8" t="n">
        <v>120</v>
      </c>
      <c r="J4" s="9" t="n">
        <v>55</v>
      </c>
      <c r="K4" s="10" t="n">
        <v>80</v>
      </c>
      <c r="L4" s="10" t="n">
        <v>200</v>
      </c>
      <c r="M4" s="10" t="n">
        <v>60</v>
      </c>
      <c r="N4" s="11" t="n">
        <v>60</v>
      </c>
      <c r="O4" s="11" t="n">
        <v>210</v>
      </c>
      <c r="P4" s="11" t="n">
        <v>50</v>
      </c>
      <c r="Q4" s="12" t="n">
        <v>50</v>
      </c>
      <c r="R4" s="12" t="n">
        <v>230</v>
      </c>
      <c r="S4" s="12" t="n">
        <v>45</v>
      </c>
    </row>
    <row r="5">
      <c r="A5" s="6" t="inlineStr">
        <is>
          <t>GLOVES-003</t>
        </is>
      </c>
      <c r="B5" s="6" t="inlineStr">
        <is>
          <t>Thermal Gloves</t>
        </is>
      </c>
      <c r="C5" s="7" t="inlineStr">
        <is>
          <t>Accessori</t>
        </is>
      </c>
      <c r="D5" s="7" t="inlineStr">
        <is>
          <t>SUP-001</t>
        </is>
      </c>
      <c r="E5" s="7" t="inlineStr">
        <is>
          <t>Alpine Wear SRL</t>
        </is>
      </c>
      <c r="F5" s="7" t="inlineStr">
        <is>
          <t>Main Store</t>
        </is>
      </c>
      <c r="G5" s="7" t="inlineStr">
        <is>
          <t>EUR</t>
        </is>
      </c>
      <c r="H5" s="7" t="inlineStr">
        <is>
          <t>PZ</t>
        </is>
      </c>
      <c r="I5" s="8" t="n">
        <v>22.5</v>
      </c>
      <c r="J5" s="9" t="n">
        <v>95</v>
      </c>
      <c r="K5" s="10" t="n">
        <v>120</v>
      </c>
      <c r="L5" s="10" t="n">
        <v>500</v>
      </c>
      <c r="M5" s="10" t="n">
        <v>80</v>
      </c>
      <c r="N5" s="11" t="n">
        <v>80</v>
      </c>
      <c r="O5" s="11" t="n">
        <v>540</v>
      </c>
      <c r="P5" s="11" t="n">
        <v>70</v>
      </c>
      <c r="Q5" s="12" t="n">
        <v>70</v>
      </c>
      <c r="R5" s="12" t="n">
        <v>580</v>
      </c>
      <c r="S5" s="12" t="n">
        <v>60</v>
      </c>
    </row>
  </sheetData>
  <dataValidations count="2">
    <dataValidation sqref="G2:G10000" showDropDown="0" showInputMessage="0" showErrorMessage="0" allowBlank="1" errorTitle="Invalid currency" error="Use EUR, USD, GBP, or CHF" promptTitle="Currency" prompt="Select currency code" type="list">
      <formula1>"EUR,USD,GBP,CHF"</formula1>
    </dataValidation>
    <dataValidation sqref="H2:H10000" showDropDown="0" showInputMessage="0" showErrorMessage="0" allowBlank="1" errorTitle="Invalid unit" error="Use PZ, KG, MT, LT, or CF" promptTitle="Unit of Measure" prompt="PZ=pieces, KG=kilograms, MT=meters, LT=litres, CF=cubic feet" type="list">
      <formula1>"PZ,KG,MT,LT,CF"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36" customWidth="1" min="3" max="3"/>
    <col width="44" customWidth="1" min="4" max="4"/>
  </cols>
  <sheetData>
    <row r="1" ht="28" customHeight="1">
      <c r="A1" s="13" t="inlineStr">
        <is>
          <t>Planning Tool — Template Guide</t>
        </is>
      </c>
    </row>
    <row r="3" ht="20" customHeight="1">
      <c r="A3" s="14" t="inlineStr">
        <is>
          <t>FIELD</t>
        </is>
      </c>
      <c r="B3" s="14" t="inlineStr">
        <is>
          <t>REQUIRED</t>
        </is>
      </c>
      <c r="C3" s="14" t="inlineStr">
        <is>
          <t>FORMAT / VALID VALUES</t>
        </is>
      </c>
      <c r="D3" s="14" t="inlineStr">
        <is>
          <t>NOTES</t>
        </is>
      </c>
    </row>
    <row r="4" ht="20" customHeight="1">
      <c r="A4" s="15" t="inlineStr">
        <is>
          <t>Product Code</t>
        </is>
      </c>
      <c r="B4" s="15" t="inlineStr">
        <is>
          <t>YES</t>
        </is>
      </c>
      <c r="C4" s="15" t="inlineStr">
        <is>
          <t>Text, max 20 chars</t>
        </is>
      </c>
      <c r="D4" s="15" t="inlineStr">
        <is>
          <t>Unique SKU per product. Same code = same product across channels/years.</t>
        </is>
      </c>
    </row>
    <row r="5" ht="20" customHeight="1">
      <c r="A5" s="15" t="inlineStr">
        <is>
          <t>Product Name</t>
        </is>
      </c>
      <c r="B5" s="15" t="inlineStr">
        <is>
          <t>YES</t>
        </is>
      </c>
      <c r="C5" s="15" t="inlineStr">
        <is>
          <t>Text, max 100 chars</t>
        </is>
      </c>
      <c r="D5" s="15" t="inlineStr">
        <is>
          <t>Human-readable name shown in results.</t>
        </is>
      </c>
    </row>
    <row r="6" ht="20" customHeight="1">
      <c r="A6" s="16" t="inlineStr">
        <is>
          <t>Category</t>
        </is>
      </c>
      <c r="B6" s="16" t="inlineStr">
        <is>
          <t>no</t>
        </is>
      </c>
      <c r="C6" s="16" t="inlineStr">
        <is>
          <t>Free text</t>
        </is>
      </c>
      <c r="D6" s="16" t="inlineStr">
        <is>
          <t>Optional grouping (e.g. Abbigliamento, Calzature). Used for display only.</t>
        </is>
      </c>
    </row>
    <row r="7" ht="20" customHeight="1">
      <c r="A7" s="16" t="inlineStr">
        <is>
          <t>Supplier Code</t>
        </is>
      </c>
      <c r="B7" s="16" t="inlineStr">
        <is>
          <t>no</t>
        </is>
      </c>
      <c r="C7" s="16" t="inlineStr">
        <is>
          <t>Text</t>
        </is>
      </c>
      <c r="D7" s="16" t="inlineStr">
        <is>
          <t>Your internal supplier ID.</t>
        </is>
      </c>
    </row>
    <row r="8" ht="20" customHeight="1">
      <c r="A8" s="16" t="inlineStr">
        <is>
          <t>Supplier Name</t>
        </is>
      </c>
      <c r="B8" s="16" t="inlineStr">
        <is>
          <t>no</t>
        </is>
      </c>
      <c r="C8" s="16" t="inlineStr">
        <is>
          <t>Text</t>
        </is>
      </c>
      <c r="D8" s="16" t="inlineStr">
        <is>
          <t>Supplier company name.</t>
        </is>
      </c>
    </row>
    <row r="9" ht="20" customHeight="1">
      <c r="A9" s="16" t="inlineStr">
        <is>
          <t>Sales Channel</t>
        </is>
      </c>
      <c r="B9" s="16" t="inlineStr">
        <is>
          <t>no</t>
        </is>
      </c>
      <c r="C9" s="16" t="inlineStr">
        <is>
          <t>Text</t>
        </is>
      </c>
      <c r="D9" s="16" t="inlineStr">
        <is>
          <t>If you sell through multiple channels (e.g. Main Store, Online), add one row per channel per product.</t>
        </is>
      </c>
    </row>
    <row r="10" ht="20" customHeight="1">
      <c r="A10" s="16" t="inlineStr">
        <is>
          <t>Currency</t>
        </is>
      </c>
      <c r="B10" s="16" t="inlineStr">
        <is>
          <t>no</t>
        </is>
      </c>
      <c r="C10" s="16" t="inlineStr">
        <is>
          <t>EUR | USD | GBP | CHF</t>
        </is>
      </c>
      <c r="D10" s="16" t="inlineStr">
        <is>
          <t>ISO 4217 code. Leave blank to default to EUR.</t>
        </is>
      </c>
    </row>
    <row r="11" ht="20" customHeight="1">
      <c r="A11" s="16" t="inlineStr">
        <is>
          <t>Unit of Measure</t>
        </is>
      </c>
      <c r="B11" s="16" t="inlineStr">
        <is>
          <t>no</t>
        </is>
      </c>
      <c r="C11" s="16" t="inlineStr">
        <is>
          <t>PZ | KG | MT | LT | CF</t>
        </is>
      </c>
      <c r="D11" s="16" t="inlineStr">
        <is>
          <t>PZ=pieces, KG=kilograms, MT=meters, LT=litres, CF=cubic feet.</t>
        </is>
      </c>
    </row>
    <row r="12" ht="20" customHeight="1">
      <c r="A12" s="16" t="inlineStr">
        <is>
          <t>Unit Cost</t>
        </is>
      </c>
      <c r="B12" s="16" t="inlineStr">
        <is>
          <t>no</t>
        </is>
      </c>
      <c r="C12" s="16" t="inlineStr">
        <is>
          <t>Number, 2 decimal places</t>
        </is>
      </c>
      <c r="D12" s="16" t="inlineStr">
        <is>
          <t>Cost per unit. Example: 85.00</t>
        </is>
      </c>
    </row>
    <row r="13" ht="20" customHeight="1">
      <c r="A13" s="15" t="inlineStr">
        <is>
          <t>Current Stock</t>
        </is>
      </c>
      <c r="B13" s="15" t="inlineStr">
        <is>
          <t>YES</t>
        </is>
      </c>
      <c r="C13" s="15" t="inlineStr">
        <is>
          <t>Integer ≥ 0</t>
        </is>
      </c>
      <c r="D13" s="15" t="inlineStr">
        <is>
          <t>Units in stock RIGHT NOW (at time of analysis). This is subtracted from the forecast to calculate how many units to actually order.</t>
        </is>
      </c>
    </row>
    <row r="14" ht="20" customHeight="1">
      <c r="A14" s="16" t="inlineStr">
        <is>
          <t>Opening Stock YYYY</t>
        </is>
      </c>
      <c r="B14" s="16" t="inlineStr">
        <is>
          <t>YES (last 3 yrs)</t>
        </is>
      </c>
      <c r="C14" s="16" t="inlineStr">
        <is>
          <t>Integer ≥ 0</t>
        </is>
      </c>
      <c r="D14" s="16" t="inlineStr">
        <is>
          <t>Units in stock at the START of year YYYY. Should equal previous year's Closing Stock.</t>
        </is>
      </c>
    </row>
    <row r="15" ht="20" customHeight="1">
      <c r="A15" s="16" t="inlineStr">
        <is>
          <t>Qty Purchased YYYY</t>
        </is>
      </c>
      <c r="B15" s="16" t="inlineStr">
        <is>
          <t>YES (last 3 yrs)</t>
        </is>
      </c>
      <c r="C15" s="16" t="inlineStr">
        <is>
          <t>Integer ≥ 0</t>
        </is>
      </c>
      <c r="D15" s="16" t="inlineStr">
        <is>
          <t>Total units purchased/ordered during year YYYY.</t>
        </is>
      </c>
    </row>
    <row r="16" ht="20" customHeight="1">
      <c r="A16" s="16" t="inlineStr">
        <is>
          <t>Closing Stock YYYY</t>
        </is>
      </c>
      <c r="B16" s="16" t="inlineStr">
        <is>
          <t>YES (last 3 yrs)</t>
        </is>
      </c>
      <c r="C16" s="16" t="inlineStr">
        <is>
          <t>Integer ≥ 0</t>
        </is>
      </c>
      <c r="D16" s="16" t="inlineStr">
        <is>
          <t>Units remaining at END of year YYYY. Sales = Opening + Qty Purchased − Closing.</t>
        </is>
      </c>
    </row>
    <row r="18" ht="20" customHeight="1">
      <c r="A18" s="14" t="inlineStr">
        <is>
          <t>HOW TO ADD MORE YEARS</t>
        </is>
      </c>
      <c r="B18" s="14" t="inlineStr"/>
      <c r="C18" s="14" t="inlineStr"/>
      <c r="D18" s="14" t="inlineStr"/>
    </row>
    <row r="19" ht="20" customHeight="1">
      <c r="A19" s="17" t="inlineStr">
        <is>
          <t>Add 3 columns to the RIGHT of the last year group.</t>
        </is>
      </c>
      <c r="B19" s="17" t="inlineStr"/>
      <c r="C19" s="17" t="inlineStr"/>
      <c r="D19" s="17" t="inlineStr">
        <is>
          <t>Name them exactly: 'Opening Stock YYYY', 'Qty Purchased YYYY', 'Closing Stock YYYY'.</t>
        </is>
      </c>
    </row>
    <row r="20" ht="20" customHeight="1">
      <c r="A20" s="17" t="inlineStr">
        <is>
          <t>Minimum required: 3 complete year groups.</t>
        </is>
      </c>
      <c r="B20" s="17" t="inlineStr"/>
      <c r="C20" s="17" t="inlineStr"/>
      <c r="D20" s="17" t="inlineStr">
        <is>
          <t>The more years you provide, the more accurate the trend calculation.</t>
        </is>
      </c>
    </row>
    <row r="22" ht="20" customHeight="1">
      <c r="A22" s="14" t="inlineStr">
        <is>
          <t>FORMULA</t>
        </is>
      </c>
      <c r="B22" s="14" t="inlineStr"/>
      <c r="C22" s="14" t="inlineStr"/>
      <c r="D22" s="14" t="inlineStr"/>
    </row>
    <row r="23" ht="20" customHeight="1">
      <c r="A23" s="17" t="inlineStr">
        <is>
          <t>Sales (calculated)</t>
        </is>
      </c>
      <c r="B23" s="17" t="inlineStr"/>
      <c r="C23" s="17">
        <f> Opening Stock + Qty Purchased − Closing Stock</f>
        <v/>
      </c>
      <c r="D23" s="17" t="inlineStr"/>
    </row>
    <row r="24" ht="20" customHeight="1">
      <c r="A24" s="17" t="inlineStr">
        <is>
          <t>Recommended Order</t>
        </is>
      </c>
      <c r="B24" s="17" t="inlineStr"/>
      <c r="C24" s="17">
        <f> ceil(Forecast − Current Stock)</f>
        <v/>
      </c>
      <c r="D24" s="17" t="inlineStr">
        <is>
          <t>Forecast = avg_sales × (1 + trend) × AI_factor × 1.10 safety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2026-04-28T15:28:00Z</dcterms:created>
  <dcterms:modified xsi:type="dcterms:W3CDTF">2026-04-28T15:28:00Z</dcterms:modified>
</cp:coreProperties>
</file>